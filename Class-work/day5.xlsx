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oni\OneDrive\Desktop\Anudip\"/>
    </mc:Choice>
  </mc:AlternateContent>
  <xr:revisionPtr revIDLastSave="0" documentId="13_ncr:1_{30BE3BEC-9FA4-444F-B52F-17997C81A21F}" xr6:coauthVersionLast="47" xr6:coauthVersionMax="47" xr10:uidLastSave="{00000000-0000-0000-0000-000000000000}"/>
  <bookViews>
    <workbookView xWindow="-120" yWindow="-120" windowWidth="20730" windowHeight="11760" xr2:uid="{72C4607A-6412-4D69-ACF9-CA3FE886F520}"/>
  </bookViews>
  <sheets>
    <sheet name="Sheet1" sheetId="1" r:id="rId1"/>
    <sheet name="Sheet2" sheetId="2" r:id="rId2"/>
  </sheets>
  <definedNames>
    <definedName name="Products">Sheet1!$A$1:$C$7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" i="1" l="1"/>
  <c r="E8" i="1"/>
  <c r="E2" i="1"/>
  <c r="E3" i="1"/>
  <c r="E4" i="1"/>
  <c r="E5" i="1"/>
  <c r="E6" i="1"/>
  <c r="D3" i="1"/>
  <c r="D4" i="1"/>
  <c r="D5" i="1"/>
  <c r="D6" i="1"/>
  <c r="D7" i="1"/>
  <c r="D8" i="1"/>
  <c r="D2" i="1"/>
  <c r="G8" i="2"/>
  <c r="E7" i="2"/>
  <c r="D8" i="2"/>
  <c r="F8" i="2"/>
  <c r="E3" i="2"/>
  <c r="E4" i="2"/>
  <c r="E5" i="2"/>
  <c r="E6" i="2"/>
  <c r="F3" i="2"/>
  <c r="F4" i="2"/>
  <c r="F5" i="2"/>
  <c r="F6" i="2"/>
  <c r="F7" i="2"/>
  <c r="F2" i="2"/>
  <c r="D2" i="2"/>
  <c r="G3" i="2"/>
  <c r="G4" i="2"/>
  <c r="G5" i="2"/>
  <c r="G6" i="2"/>
  <c r="G7" i="2"/>
  <c r="G2" i="2"/>
  <c r="D3" i="2"/>
  <c r="D4" i="2"/>
  <c r="D5" i="2"/>
  <c r="D6" i="2"/>
  <c r="D7" i="2"/>
  <c r="E2" i="2"/>
  <c r="F12" i="2" l="1"/>
</calcChain>
</file>

<file path=xl/sharedStrings.xml><?xml version="1.0" encoding="utf-8"?>
<sst xmlns="http://schemas.openxmlformats.org/spreadsheetml/2006/main" count="21" uniqueCount="20">
  <si>
    <t>Product ID</t>
  </si>
  <si>
    <t>Price</t>
  </si>
  <si>
    <t>Product A</t>
  </si>
  <si>
    <t>Product B</t>
  </si>
  <si>
    <t>Product</t>
  </si>
  <si>
    <t>Product C</t>
  </si>
  <si>
    <t>Product D</t>
  </si>
  <si>
    <t>Product E</t>
  </si>
  <si>
    <t>Product F</t>
  </si>
  <si>
    <t>Order ID</t>
  </si>
  <si>
    <t>Quantity</t>
  </si>
  <si>
    <t>Total Price</t>
  </si>
  <si>
    <t>Product Name</t>
  </si>
  <si>
    <t>Availablity</t>
  </si>
  <si>
    <t>Discounted Price</t>
  </si>
  <si>
    <t>Product G</t>
  </si>
  <si>
    <t>Max Order Value</t>
  </si>
  <si>
    <t>Product H</t>
  </si>
  <si>
    <t>Ordered/Not Ordered</t>
  </si>
  <si>
    <t>Quantity Ordered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</si>
</sst>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1" fillId="2" borderId="1" xfId="0" applyNumberFormat="1" applyFont="1" applyFill="1" applyBorder="1"/>
    <xf numFmtId="0" fontId="1" fillId="2" borderId="1" xfId="0" applyFont="1" applyFill="1" applyBorder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754F9-89AB-4910-B980-A53CEBACBF7A}">
  <dimension ref="A1:E8"/>
  <sheetViews>
    <sheetView tabSelected="1" zoomScale="150" workbookViewId="0">
      <selection activeCell="F6" sqref="F6"/>
    </sheetView>
  </sheetViews>
  <sheetFormatPr defaultRowHeight="15" x14ac:dyDescent="0.25"/>
  <cols>
    <col min="1" max="1" width="11.42578125" bestFit="1" customWidth="1"/>
    <col min="2" max="2" width="9.5703125" bestFit="1" customWidth="1"/>
    <col min="3" max="3" width="7" customWidth="1"/>
    <col min="4" max="4" width="23" bestFit="1" customWidth="1"/>
    <col min="5" max="5" width="19.5703125" bestFit="1" customWidth="1"/>
    <col min="6" max="6" width="18.7109375" bestFit="1" customWidth="1"/>
  </cols>
  <sheetData>
    <row r="1" spans="1:5" ht="15.75" x14ac:dyDescent="0.25">
      <c r="A1" s="1" t="s">
        <v>0</v>
      </c>
      <c r="B1" s="2" t="s">
        <v>4</v>
      </c>
      <c r="C1" s="2" t="s">
        <v>1</v>
      </c>
      <c r="D1" s="4" t="s">
        <v>18</v>
      </c>
      <c r="E1" s="2" t="s">
        <v>19</v>
      </c>
    </row>
    <row r="2" spans="1:5" x14ac:dyDescent="0.25">
      <c r="A2" s="3">
        <v>101</v>
      </c>
      <c r="B2" s="3" t="s">
        <v>2</v>
      </c>
      <c r="C2" s="3">
        <v>120</v>
      </c>
      <c r="D2" s="3" t="str">
        <f>IF(ISNA(VLOOKUP(A2,Sheet2!$B$1:$D$7,2,0)),"Not Ordered","Ordered")</f>
        <v>Ordered</v>
      </c>
      <c r="E2" s="3">
        <f>SUMIF(Sheet2!B:B,A2,Sheet2!C:C)</f>
        <v>7</v>
      </c>
    </row>
    <row r="3" spans="1:5" x14ac:dyDescent="0.25">
      <c r="A3" s="3">
        <v>102</v>
      </c>
      <c r="B3" s="3" t="s">
        <v>3</v>
      </c>
      <c r="C3" s="3">
        <v>150</v>
      </c>
      <c r="D3" s="3" t="str">
        <f>IF(ISNA(VLOOKUP(A3,Sheet2!$B$1:$D$7,2,0)),"Not Ordered","Ordered")</f>
        <v>Not Ordered</v>
      </c>
      <c r="E3" s="3">
        <f>SUMIF(Sheet2!B:B,A3,Sheet2!C:C)</f>
        <v>0</v>
      </c>
    </row>
    <row r="4" spans="1:5" x14ac:dyDescent="0.25">
      <c r="A4" s="3">
        <v>103</v>
      </c>
      <c r="B4" s="3" t="s">
        <v>5</v>
      </c>
      <c r="C4" s="3">
        <v>200</v>
      </c>
      <c r="D4" s="3" t="str">
        <f>IF(ISNA(VLOOKUP(A4,Sheet2!$B$1:$D$7,2,0)),"Not Ordered","Ordered")</f>
        <v>Ordered</v>
      </c>
      <c r="E4" s="3">
        <f>SUMIF(Sheet2!B:B,A4,Sheet2!C:C)</f>
        <v>1</v>
      </c>
    </row>
    <row r="5" spans="1:5" x14ac:dyDescent="0.25">
      <c r="A5" s="3">
        <v>104</v>
      </c>
      <c r="B5" s="3" t="s">
        <v>6</v>
      </c>
      <c r="C5" s="3">
        <v>90</v>
      </c>
      <c r="D5" s="3" t="str">
        <f>IF(ISNA(VLOOKUP(A5,Sheet2!$B$1:$D$7,2,0)),"Not Ordered","Ordered")</f>
        <v>Ordered</v>
      </c>
      <c r="E5" s="3">
        <f>SUMIF(Sheet2!B:B,A5,Sheet2!C:C)</f>
        <v>6</v>
      </c>
    </row>
    <row r="6" spans="1:5" x14ac:dyDescent="0.25">
      <c r="A6" s="3">
        <v>105</v>
      </c>
      <c r="B6" s="3" t="s">
        <v>7</v>
      </c>
      <c r="C6" s="3">
        <v>220</v>
      </c>
      <c r="D6" s="3" t="str">
        <f>IF(ISNA(VLOOKUP(A6,Sheet2!$B$1:$D$7,2,0)),"Not Ordered","Ordered")</f>
        <v>Ordered</v>
      </c>
      <c r="E6" s="3">
        <f>SUMIF(Sheet2!B:B,A6,Sheet2!C:C)</f>
        <v>4</v>
      </c>
    </row>
    <row r="7" spans="1:5" x14ac:dyDescent="0.25">
      <c r="A7" s="3">
        <v>106</v>
      </c>
      <c r="B7" s="3" t="s">
        <v>8</v>
      </c>
      <c r="C7" s="3">
        <v>130</v>
      </c>
      <c r="D7" s="3" t="str">
        <f>IF(ISNA(VLOOKUP(A7,Sheet2!$B$1:$D$7,2,0)),"Not Ordered","Ordered")</f>
        <v>Ordered</v>
      </c>
      <c r="E7" s="3">
        <f>SUMIF(Sheet2!B:B,A7,Sheet2!C:C)</f>
        <v>3</v>
      </c>
    </row>
    <row r="8" spans="1:5" x14ac:dyDescent="0.25">
      <c r="A8" s="5">
        <v>108</v>
      </c>
      <c r="B8" s="3" t="s">
        <v>17</v>
      </c>
      <c r="C8" s="5">
        <v>180</v>
      </c>
      <c r="D8" s="3" t="str">
        <f>IF(ISNA(VLOOKUP(A8,Sheet2!$B$1:$D$7,2,0)),"Not Ordered","Ordered")</f>
        <v>Not Ordered</v>
      </c>
      <c r="E8" s="3">
        <f>SUMIF(Sheet2!B:B,A8,Sheet2!C:C)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8631D-6161-47AB-B49E-2E27747001FB}">
  <dimension ref="A1:G12"/>
  <sheetViews>
    <sheetView zoomScale="160" workbookViewId="0">
      <selection activeCell="C7" sqref="C7"/>
    </sheetView>
  </sheetViews>
  <sheetFormatPr defaultRowHeight="15" x14ac:dyDescent="0.25"/>
  <cols>
    <col min="1" max="2" width="11.42578125" bestFit="1" customWidth="1"/>
    <col min="3" max="3" width="9.7109375" bestFit="1" customWidth="1"/>
    <col min="4" max="4" width="11.42578125" bestFit="1" customWidth="1"/>
    <col min="5" max="5" width="15.28515625" bestFit="1" customWidth="1"/>
    <col min="6" max="6" width="11.42578125" bestFit="1" customWidth="1"/>
    <col min="7" max="7" width="17.7109375" bestFit="1" customWidth="1"/>
  </cols>
  <sheetData>
    <row r="1" spans="1:7" ht="15.75" x14ac:dyDescent="0.25">
      <c r="A1" s="1" t="s">
        <v>9</v>
      </c>
      <c r="B1" s="1" t="s">
        <v>0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</row>
    <row r="2" spans="1:7" x14ac:dyDescent="0.25">
      <c r="A2" s="3">
        <v>1</v>
      </c>
      <c r="B2" s="3">
        <v>101</v>
      </c>
      <c r="C2" s="3">
        <v>2</v>
      </c>
      <c r="D2" s="3">
        <f>VLOOKUP(B2,Products,3,0)*C2</f>
        <v>240</v>
      </c>
      <c r="E2" s="3" t="str">
        <f t="shared" ref="E2:E7" si="0">VLOOKUP(B2,Products,2,0)</f>
        <v>Product A</v>
      </c>
      <c r="F2" s="3" t="str">
        <f t="shared" ref="F2:F7" si="1">IF(ISNA(VLOOKUP(B2,Products,1,0))," Not found","Found")</f>
        <v>Found</v>
      </c>
      <c r="G2" s="3">
        <f t="shared" ref="G2:G7" si="2">VLOOKUP(B2,Products,3,0)*(1-1/10)</f>
        <v>108</v>
      </c>
    </row>
    <row r="3" spans="1:7" x14ac:dyDescent="0.25">
      <c r="A3" s="3">
        <v>2</v>
      </c>
      <c r="B3" s="3">
        <v>103</v>
      </c>
      <c r="C3" s="3">
        <v>1</v>
      </c>
      <c r="D3" s="3">
        <f t="shared" ref="D3:D7" si="3">VLOOKUP(B3,Products,3,0)*C3</f>
        <v>200</v>
      </c>
      <c r="E3" s="3" t="str">
        <f t="shared" si="0"/>
        <v>Product C</v>
      </c>
      <c r="F3" s="3" t="str">
        <f t="shared" si="1"/>
        <v>Found</v>
      </c>
      <c r="G3" s="3">
        <f t="shared" si="2"/>
        <v>180</v>
      </c>
    </row>
    <row r="4" spans="1:7" x14ac:dyDescent="0.25">
      <c r="A4" s="3">
        <v>3</v>
      </c>
      <c r="B4" s="3">
        <v>105</v>
      </c>
      <c r="C4" s="3">
        <v>4</v>
      </c>
      <c r="D4" s="3">
        <f t="shared" si="3"/>
        <v>880</v>
      </c>
      <c r="E4" s="3" t="str">
        <f t="shared" si="0"/>
        <v>Product E</v>
      </c>
      <c r="F4" s="3" t="str">
        <f t="shared" si="1"/>
        <v>Found</v>
      </c>
      <c r="G4" s="3">
        <f t="shared" si="2"/>
        <v>198</v>
      </c>
    </row>
    <row r="5" spans="1:7" x14ac:dyDescent="0.25">
      <c r="A5" s="3">
        <v>4</v>
      </c>
      <c r="B5" s="3">
        <v>106</v>
      </c>
      <c r="C5" s="3">
        <v>3</v>
      </c>
      <c r="D5" s="3">
        <f t="shared" si="3"/>
        <v>390</v>
      </c>
      <c r="E5" s="3" t="str">
        <f t="shared" si="0"/>
        <v>Product F</v>
      </c>
      <c r="F5" s="3" t="str">
        <f t="shared" si="1"/>
        <v>Found</v>
      </c>
      <c r="G5" s="3">
        <f t="shared" si="2"/>
        <v>117</v>
      </c>
    </row>
    <row r="6" spans="1:7" x14ac:dyDescent="0.25">
      <c r="A6" s="3">
        <v>5</v>
      </c>
      <c r="B6" s="3">
        <v>101</v>
      </c>
      <c r="C6" s="3">
        <v>5</v>
      </c>
      <c r="D6" s="3">
        <f t="shared" si="3"/>
        <v>600</v>
      </c>
      <c r="E6" s="3" t="str">
        <f t="shared" si="0"/>
        <v>Product A</v>
      </c>
      <c r="F6" s="3" t="str">
        <f t="shared" si="1"/>
        <v>Found</v>
      </c>
      <c r="G6" s="3">
        <f t="shared" si="2"/>
        <v>108</v>
      </c>
    </row>
    <row r="7" spans="1:7" x14ac:dyDescent="0.25">
      <c r="A7" s="3">
        <v>6</v>
      </c>
      <c r="B7" s="3">
        <v>104</v>
      </c>
      <c r="C7" s="3">
        <v>6</v>
      </c>
      <c r="D7" s="3">
        <f t="shared" si="3"/>
        <v>540</v>
      </c>
      <c r="E7" s="3" t="str">
        <f t="shared" si="0"/>
        <v>Product D</v>
      </c>
      <c r="F7" s="3" t="str">
        <f t="shared" si="1"/>
        <v>Found</v>
      </c>
      <c r="G7" s="3">
        <f t="shared" si="2"/>
        <v>81</v>
      </c>
    </row>
    <row r="8" spans="1:7" x14ac:dyDescent="0.25">
      <c r="A8" s="3">
        <v>7</v>
      </c>
      <c r="B8" s="3">
        <v>107</v>
      </c>
      <c r="C8" s="5">
        <v>7</v>
      </c>
      <c r="D8" s="3">
        <f>110*C8</f>
        <v>770</v>
      </c>
      <c r="E8" s="3" t="s">
        <v>15</v>
      </c>
      <c r="F8" s="6" t="str">
        <f>IF(ISNA(VLOOKUP(B8,Products,1,0)),"Not found","Found")</f>
        <v>Not found</v>
      </c>
      <c r="G8" s="3">
        <f>110*0.9</f>
        <v>99</v>
      </c>
    </row>
    <row r="12" spans="1:7" x14ac:dyDescent="0.25">
      <c r="E12" s="7" t="s">
        <v>16</v>
      </c>
      <c r="F12" s="3">
        <f>MAX(D2:D8)</f>
        <v>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Demon king</dc:creator>
  <cp:lastModifiedBy>Demon king</cp:lastModifiedBy>
  <dcterms:created xsi:type="dcterms:W3CDTF">2026-01-10T10:17:01Z</dcterms:created>
  <dcterms:modified xsi:type="dcterms:W3CDTF">2026-01-12T15:46:44Z</dcterms:modified>
</cp:coreProperties>
</file>