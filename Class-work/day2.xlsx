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E3B0607E-28D7-4AF2-8365-FE24C0B92A0F}" xr6:coauthVersionLast="47" xr6:coauthVersionMax="47" xr10:uidLastSave="{00000000-0000-0000-0000-000000000000}"/>
  <bookViews>
    <workbookView xWindow="-120" yWindow="-120" windowWidth="20730" windowHeight="11040" xr2:uid="{6233A4EB-B43A-4B6C-8145-192B87EEE6E9}"/>
  </bookViews>
  <sheets>
    <sheet name="Sheet1" sheetId="1" r:id="rId1"/>
    <sheet name="Sheet2" sheetId="2" r:id="rId2"/>
  </sheets>
  <definedNames>
    <definedName name="data1">Sheet1!$A$1:$C$3</definedName>
    <definedName name="ed">Sheet2!$A$17:$D$21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C4" i="1"/>
  <c r="C5" i="1"/>
  <c r="C6" i="1"/>
  <c r="C7" i="1"/>
  <c r="C8" i="1"/>
  <c r="M13" i="2"/>
  <c r="M14" i="2"/>
  <c r="M15" i="2"/>
  <c r="M16" i="2"/>
  <c r="M12" i="2"/>
  <c r="K12" i="2"/>
  <c r="L12" i="2"/>
  <c r="K13" i="2"/>
  <c r="L13" i="2"/>
  <c r="K14" i="2"/>
  <c r="L14" i="2"/>
  <c r="K15" i="2"/>
  <c r="L15" i="2"/>
  <c r="K16" i="2"/>
  <c r="L16" i="2"/>
  <c r="J16" i="2"/>
  <c r="J13" i="2"/>
  <c r="J14" i="2"/>
  <c r="J15" i="2"/>
  <c r="J12" i="2"/>
  <c r="E18" i="2"/>
  <c r="E19" i="2"/>
  <c r="E20" i="2"/>
  <c r="E21" i="2"/>
  <c r="B10" i="2"/>
  <c r="C10" i="2"/>
  <c r="D10" i="2"/>
  <c r="B11" i="2"/>
  <c r="C11" i="2"/>
  <c r="D11" i="2"/>
  <c r="B12" i="2"/>
  <c r="C12" i="2"/>
  <c r="D12" i="2"/>
  <c r="B13" i="2"/>
  <c r="C13" i="2"/>
  <c r="D13" i="2"/>
  <c r="C9" i="2"/>
  <c r="D9" i="2"/>
  <c r="B9" i="2"/>
  <c r="E3" i="2"/>
  <c r="D3" i="2"/>
  <c r="D4" i="2"/>
  <c r="E4" i="2" s="1"/>
  <c r="D2" i="2"/>
  <c r="E2" i="2" s="1"/>
</calcChain>
</file>

<file path=xl/sharedStrings.xml><?xml version="1.0" encoding="utf-8"?>
<sst xmlns="http://schemas.openxmlformats.org/spreadsheetml/2006/main" count="40" uniqueCount="34">
  <si>
    <t>Tanmoy</t>
  </si>
  <si>
    <t>Student Name</t>
  </si>
  <si>
    <t>Tuhin</t>
  </si>
  <si>
    <t>Ram</t>
  </si>
  <si>
    <t>sub1</t>
  </si>
  <si>
    <t>sub2</t>
  </si>
  <si>
    <t>Total</t>
  </si>
  <si>
    <t>percentage</t>
  </si>
  <si>
    <t>Full Marks</t>
  </si>
  <si>
    <t>X</t>
  </si>
  <si>
    <t>Product</t>
  </si>
  <si>
    <t xml:space="preserve">Unit price </t>
  </si>
  <si>
    <t>Quantity</t>
  </si>
  <si>
    <t>Discount</t>
  </si>
  <si>
    <t>Mobile</t>
  </si>
  <si>
    <t>Laptop</t>
  </si>
  <si>
    <t>Tablet</t>
  </si>
  <si>
    <t>Mouse</t>
  </si>
  <si>
    <t>Total Price</t>
  </si>
  <si>
    <t>Jan Qty.</t>
  </si>
  <si>
    <t>Feb Qty.</t>
  </si>
  <si>
    <t>Mar Qty.</t>
  </si>
  <si>
    <t xml:space="preserve">Sale Amount </t>
  </si>
  <si>
    <t xml:space="preserve">Printer </t>
  </si>
  <si>
    <t>Total Sales</t>
  </si>
  <si>
    <t xml:space="preserve">Name </t>
  </si>
  <si>
    <t>Marks</t>
  </si>
  <si>
    <t>Ankita</t>
  </si>
  <si>
    <t>Sayan</t>
  </si>
  <si>
    <t>Tamal</t>
  </si>
  <si>
    <t>Amit</t>
  </si>
  <si>
    <t>Aishri</t>
  </si>
  <si>
    <t xml:space="preserve">Result1 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</si>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</sst>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3" fontId="0" fillId="0" borderId="1" xfId="0" applyNumberFormat="1" applyBorder="1"/>
    <xf numFmtId="0" fontId="0" fillId="0" borderId="1" xfId="0" applyFill="1" applyBorder="1"/>
    <xf numFmtId="3" fontId="0" fillId="0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2511-A92F-44A0-BE2B-832993430282}">
  <dimension ref="A1:I8"/>
  <sheetViews>
    <sheetView tabSelected="1" workbookViewId="0">
      <selection activeCell="D4" sqref="D4"/>
    </sheetView>
  </sheetViews>
  <sheetFormatPr defaultRowHeight="15" x14ac:dyDescent="0.25"/>
  <cols>
    <col min="6" max="6" width="7.42578125" customWidth="1"/>
    <col min="7" max="7" width="10.140625" customWidth="1"/>
  </cols>
  <sheetData>
    <row r="1" spans="1:9" x14ac:dyDescent="0.25">
      <c r="A1" s="16"/>
      <c r="B1" s="16"/>
      <c r="C1" s="16"/>
    </row>
    <row r="2" spans="1:9" ht="14.25" customHeight="1" x14ac:dyDescent="0.25"/>
    <row r="3" spans="1:9" ht="12.75" customHeight="1" x14ac:dyDescent="0.25">
      <c r="A3" t="s">
        <v>25</v>
      </c>
      <c r="B3" t="s">
        <v>26</v>
      </c>
      <c r="C3" t="s">
        <v>32</v>
      </c>
      <c r="D3" t="s">
        <v>33</v>
      </c>
      <c r="H3" s="1"/>
      <c r="I3" s="1"/>
    </row>
    <row r="4" spans="1:9" x14ac:dyDescent="0.25">
      <c r="A4" t="s">
        <v>27</v>
      </c>
      <c r="B4">
        <v>36</v>
      </c>
      <c r="C4" t="str">
        <f>IF(B4&gt;=40,"Passed","Failed")</f>
        <v>Failed</v>
      </c>
      <c r="D4" t="str">
        <f>_xlfn.IFS(B2&gt;80,"O",B2&gt;=60,"A",B2&gt;=40,"B",B2&lt;=40,"D")</f>
        <v>D</v>
      </c>
    </row>
    <row r="5" spans="1:9" x14ac:dyDescent="0.25">
      <c r="A5" t="s">
        <v>28</v>
      </c>
      <c r="B5">
        <v>78</v>
      </c>
      <c r="C5" t="str">
        <f t="shared" ref="C5:C8" si="0">IF(B5&gt;=60,"Passed","Failed")</f>
        <v>Passed</v>
      </c>
      <c r="D5" t="str">
        <f>_xlfn.IFS(B3&gt;80,"O",B3&gt;=60,"A",B3&gt;=40,"B",B3&lt;=40,"D")</f>
        <v>O</v>
      </c>
    </row>
    <row r="6" spans="1:9" x14ac:dyDescent="0.25">
      <c r="A6" t="s">
        <v>29</v>
      </c>
      <c r="B6">
        <v>23</v>
      </c>
      <c r="C6" t="str">
        <f t="shared" si="0"/>
        <v>Failed</v>
      </c>
      <c r="D6" t="str">
        <f t="shared" ref="D5:D8" si="1">_xlfn.IFS(B4&gt;80,"O",B4&gt;=60,"A",B4&gt;=40,"B",B4&lt;=40,"D")</f>
        <v>D</v>
      </c>
    </row>
    <row r="7" spans="1:9" x14ac:dyDescent="0.25">
      <c r="A7" t="s">
        <v>30</v>
      </c>
      <c r="B7">
        <v>87</v>
      </c>
      <c r="C7" t="str">
        <f t="shared" si="0"/>
        <v>Passed</v>
      </c>
      <c r="D7" t="str">
        <f t="shared" si="1"/>
        <v>A</v>
      </c>
    </row>
    <row r="8" spans="1:9" x14ac:dyDescent="0.25">
      <c r="A8" t="s">
        <v>31</v>
      </c>
      <c r="B8">
        <v>90</v>
      </c>
      <c r="C8" t="str">
        <f t="shared" si="0"/>
        <v>Passed</v>
      </c>
      <c r="D8" t="str">
        <f t="shared" si="1"/>
        <v>D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CA6F-904D-4D75-936C-FB12796287A6}">
  <dimension ref="A1:M21"/>
  <sheetViews>
    <sheetView topLeftCell="A10" workbookViewId="0">
      <selection activeCell="J10" sqref="J10"/>
    </sheetView>
  </sheetViews>
  <sheetFormatPr defaultRowHeight="15" x14ac:dyDescent="0.25"/>
  <cols>
    <col min="1" max="1" width="14.42578125" customWidth="1"/>
    <col min="3" max="3" width="12.7109375" bestFit="1" customWidth="1"/>
    <col min="4" max="4" width="10.28515625" bestFit="1" customWidth="1"/>
    <col min="5" max="5" width="11" bestFit="1" customWidth="1"/>
    <col min="8" max="8" width="10" bestFit="1" customWidth="1"/>
    <col min="13" max="13" width="10.42578125" bestFit="1" customWidth="1"/>
  </cols>
  <sheetData>
    <row r="1" spans="1:13" x14ac:dyDescent="0.25">
      <c r="A1" s="9" t="s">
        <v>1</v>
      </c>
      <c r="B1" s="9" t="s">
        <v>4</v>
      </c>
      <c r="C1" s="9" t="s">
        <v>5</v>
      </c>
      <c r="D1" s="9" t="s">
        <v>6</v>
      </c>
      <c r="E1" s="9" t="s">
        <v>7</v>
      </c>
    </row>
    <row r="2" spans="1:13" x14ac:dyDescent="0.25">
      <c r="A2" s="8" t="s">
        <v>0</v>
      </c>
      <c r="B2" s="2">
        <v>56</v>
      </c>
      <c r="C2" s="2">
        <v>26</v>
      </c>
      <c r="D2" s="2">
        <f>SUM(B2:C2)</f>
        <v>82</v>
      </c>
      <c r="E2" s="2">
        <f>D2/$I$3*100</f>
        <v>27.333333333333332</v>
      </c>
    </row>
    <row r="3" spans="1:13" x14ac:dyDescent="0.25">
      <c r="A3" s="2" t="s">
        <v>2</v>
      </c>
      <c r="B3" s="2">
        <v>45</v>
      </c>
      <c r="C3" s="2">
        <v>85</v>
      </c>
      <c r="D3" s="2">
        <f>SUM(B3:C3)</f>
        <v>130</v>
      </c>
      <c r="E3" s="2">
        <f t="shared" ref="E3:E4" si="0">D3/$I$3*100</f>
        <v>43.333333333333336</v>
      </c>
      <c r="H3" s="2" t="s">
        <v>8</v>
      </c>
      <c r="I3" s="2">
        <v>300</v>
      </c>
    </row>
    <row r="4" spans="1:13" x14ac:dyDescent="0.25">
      <c r="A4" s="2" t="s">
        <v>3</v>
      </c>
      <c r="B4" s="2">
        <v>48</v>
      </c>
      <c r="C4" s="2">
        <v>85</v>
      </c>
      <c r="D4" s="2">
        <f>SUM(B4:C4)</f>
        <v>133</v>
      </c>
      <c r="E4" s="2">
        <f t="shared" si="0"/>
        <v>44.333333333333336</v>
      </c>
    </row>
    <row r="8" spans="1:13" s="3" customFormat="1" x14ac:dyDescent="0.25">
      <c r="A8" s="4" t="s">
        <v>9</v>
      </c>
      <c r="B8" s="5">
        <v>10</v>
      </c>
      <c r="C8" s="5">
        <v>20</v>
      </c>
      <c r="D8" s="5">
        <v>40</v>
      </c>
    </row>
    <row r="9" spans="1:13" x14ac:dyDescent="0.25">
      <c r="A9" s="6">
        <v>2</v>
      </c>
      <c r="B9" s="2">
        <f>$A9*B$8</f>
        <v>20</v>
      </c>
      <c r="C9" s="2">
        <f t="shared" ref="C9:D13" si="1">$A9*C$8</f>
        <v>40</v>
      </c>
      <c r="D9" s="2">
        <f t="shared" si="1"/>
        <v>80</v>
      </c>
      <c r="J9" s="14" t="s">
        <v>22</v>
      </c>
      <c r="K9" s="14"/>
      <c r="L9" s="14"/>
    </row>
    <row r="10" spans="1:13" x14ac:dyDescent="0.25">
      <c r="A10" s="7">
        <v>3</v>
      </c>
      <c r="B10" s="2">
        <f t="shared" ref="B10:B13" si="2">$A10*B$8</f>
        <v>30</v>
      </c>
      <c r="C10" s="2">
        <f t="shared" si="1"/>
        <v>60</v>
      </c>
      <c r="D10" s="2">
        <f t="shared" si="1"/>
        <v>120</v>
      </c>
      <c r="J10" s="15" t="s">
        <v>19</v>
      </c>
      <c r="K10" s="15" t="s">
        <v>20</v>
      </c>
      <c r="L10" s="15" t="s">
        <v>21</v>
      </c>
    </row>
    <row r="11" spans="1:13" x14ac:dyDescent="0.25">
      <c r="A11" s="7">
        <v>4</v>
      </c>
      <c r="B11" s="2">
        <f t="shared" si="2"/>
        <v>40</v>
      </c>
      <c r="C11" s="2">
        <f t="shared" si="1"/>
        <v>80</v>
      </c>
      <c r="D11" s="2">
        <f t="shared" si="1"/>
        <v>160</v>
      </c>
      <c r="H11" s="13" t="s">
        <v>10</v>
      </c>
      <c r="I11" s="13" t="s">
        <v>11</v>
      </c>
      <c r="J11" s="13">
        <v>2</v>
      </c>
      <c r="K11" s="13">
        <v>5</v>
      </c>
      <c r="L11" s="13">
        <v>3</v>
      </c>
      <c r="M11" s="13" t="s">
        <v>24</v>
      </c>
    </row>
    <row r="12" spans="1:13" x14ac:dyDescent="0.25">
      <c r="A12" s="7">
        <v>5</v>
      </c>
      <c r="B12" s="2">
        <f t="shared" si="2"/>
        <v>50</v>
      </c>
      <c r="C12" s="2">
        <f t="shared" si="1"/>
        <v>100</v>
      </c>
      <c r="D12" s="2">
        <f t="shared" si="1"/>
        <v>200</v>
      </c>
      <c r="H12" s="2" t="s">
        <v>14</v>
      </c>
      <c r="I12" s="10">
        <v>30000</v>
      </c>
      <c r="J12" s="2">
        <f>$I12*J$11</f>
        <v>60000</v>
      </c>
      <c r="K12" s="2">
        <f t="shared" ref="K12:L12" si="3">$I12*K$11</f>
        <v>150000</v>
      </c>
      <c r="L12" s="2">
        <f t="shared" si="3"/>
        <v>90000</v>
      </c>
      <c r="M12" s="2">
        <f>SUM(J12:L12)</f>
        <v>300000</v>
      </c>
    </row>
    <row r="13" spans="1:13" x14ac:dyDescent="0.25">
      <c r="A13" s="7">
        <v>6</v>
      </c>
      <c r="B13" s="2">
        <f t="shared" si="2"/>
        <v>60</v>
      </c>
      <c r="C13" s="2">
        <f t="shared" si="1"/>
        <v>120</v>
      </c>
      <c r="D13" s="2">
        <f t="shared" si="1"/>
        <v>240</v>
      </c>
      <c r="H13" s="2" t="s">
        <v>15</v>
      </c>
      <c r="I13" s="10">
        <v>65000</v>
      </c>
      <c r="J13" s="2">
        <f t="shared" ref="J13:L16" si="4">$I13*J$11</f>
        <v>130000</v>
      </c>
      <c r="K13" s="2">
        <f t="shared" si="4"/>
        <v>325000</v>
      </c>
      <c r="L13" s="2">
        <f t="shared" si="4"/>
        <v>195000</v>
      </c>
      <c r="M13" s="2">
        <f t="shared" ref="M13:M16" si="5">SUM(J13:L13)</f>
        <v>650000</v>
      </c>
    </row>
    <row r="14" spans="1:13" x14ac:dyDescent="0.25">
      <c r="H14" s="2" t="s">
        <v>16</v>
      </c>
      <c r="I14" s="10">
        <v>20000</v>
      </c>
      <c r="J14" s="2">
        <f t="shared" si="4"/>
        <v>40000</v>
      </c>
      <c r="K14" s="2">
        <f t="shared" si="4"/>
        <v>100000</v>
      </c>
      <c r="L14" s="2">
        <f t="shared" si="4"/>
        <v>60000</v>
      </c>
      <c r="M14" s="2">
        <f t="shared" si="5"/>
        <v>200000</v>
      </c>
    </row>
    <row r="15" spans="1:13" x14ac:dyDescent="0.25">
      <c r="H15" s="2" t="s">
        <v>17</v>
      </c>
      <c r="I15" s="10">
        <v>500</v>
      </c>
      <c r="J15" s="2">
        <f t="shared" si="4"/>
        <v>1000</v>
      </c>
      <c r="K15" s="2">
        <f t="shared" si="4"/>
        <v>2500</v>
      </c>
      <c r="L15" s="2">
        <f t="shared" si="4"/>
        <v>1500</v>
      </c>
      <c r="M15" s="2">
        <f t="shared" si="5"/>
        <v>5000</v>
      </c>
    </row>
    <row r="16" spans="1:13" x14ac:dyDescent="0.25">
      <c r="H16" s="11" t="s">
        <v>23</v>
      </c>
      <c r="I16" s="12">
        <v>8000</v>
      </c>
      <c r="J16" s="2">
        <f>$I16*J$11</f>
        <v>16000</v>
      </c>
      <c r="K16" s="2">
        <f t="shared" si="4"/>
        <v>40000</v>
      </c>
      <c r="L16" s="2">
        <f t="shared" si="4"/>
        <v>24000</v>
      </c>
      <c r="M16" s="2">
        <f t="shared" si="5"/>
        <v>80000</v>
      </c>
    </row>
    <row r="17" spans="1:5" x14ac:dyDescent="0.25">
      <c r="A17" s="13" t="s">
        <v>10</v>
      </c>
      <c r="B17" s="13" t="s">
        <v>11</v>
      </c>
      <c r="C17" s="13" t="s">
        <v>12</v>
      </c>
      <c r="D17" s="13" t="s">
        <v>13</v>
      </c>
      <c r="E17" s="13" t="s">
        <v>18</v>
      </c>
    </row>
    <row r="18" spans="1:5" x14ac:dyDescent="0.25">
      <c r="A18" s="2" t="s">
        <v>14</v>
      </c>
      <c r="B18" s="10">
        <v>30000</v>
      </c>
      <c r="C18" s="2">
        <v>1</v>
      </c>
      <c r="D18" s="2">
        <v>10</v>
      </c>
      <c r="E18" s="2">
        <f>B18*C18*(1-D18/100)</f>
        <v>27000</v>
      </c>
    </row>
    <row r="19" spans="1:5" x14ac:dyDescent="0.25">
      <c r="A19" s="2" t="s">
        <v>15</v>
      </c>
      <c r="B19" s="10">
        <v>65000</v>
      </c>
      <c r="C19" s="2">
        <v>2</v>
      </c>
      <c r="D19" s="2">
        <v>20</v>
      </c>
      <c r="E19" s="2">
        <f t="shared" ref="E19:E21" si="6">B19*C19*(1-D19/100)</f>
        <v>104000</v>
      </c>
    </row>
    <row r="20" spans="1:5" x14ac:dyDescent="0.25">
      <c r="A20" s="2" t="s">
        <v>16</v>
      </c>
      <c r="B20" s="10">
        <v>20000</v>
      </c>
      <c r="C20" s="2">
        <v>3</v>
      </c>
      <c r="D20" s="2">
        <v>15</v>
      </c>
      <c r="E20" s="2">
        <f t="shared" si="6"/>
        <v>51000</v>
      </c>
    </row>
    <row r="21" spans="1:5" x14ac:dyDescent="0.25">
      <c r="A21" s="2" t="s">
        <v>17</v>
      </c>
      <c r="B21" s="10">
        <v>500</v>
      </c>
      <c r="C21" s="2">
        <v>5</v>
      </c>
      <c r="D21" s="2">
        <v>5</v>
      </c>
      <c r="E21" s="2">
        <f t="shared" si="6"/>
        <v>2375</v>
      </c>
    </row>
  </sheetData>
  <mergeCells count="1">
    <mergeCell ref="J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data1</vt:lpstr>
      <vt:lpstr>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2026-01-06T10:24:07Z</dcterms:created>
  <dcterms:modified xsi:type="dcterms:W3CDTF">2026-01-07T11:31:59Z</dcterms:modified>
</cp:coreProperties>
</file>