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oni\OneDrive\Desktop\Anudip\Classwork Excel\"/>
    </mc:Choice>
  </mc:AlternateContent>
  <xr:revisionPtr revIDLastSave="0" documentId="13_ncr:1_{FB7FC346-FF1F-4DE8-89EC-6F1555A17BFE}" xr6:coauthVersionLast="47" xr6:coauthVersionMax="47" xr10:uidLastSave="{00000000-0000-0000-0000-000000000000}"/>
  <bookViews>
    <workbookView xWindow="-120" yWindow="-120" windowWidth="20730" windowHeight="11760" activeTab="1" xr2:uid="{AEF9D61D-5BE6-4704-95A5-280F2C4E5ED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" i="2" l="1"/>
  <c r="H8" i="2"/>
  <c r="H7" i="2"/>
  <c r="H6" i="2"/>
  <c r="H5" i="2"/>
  <c r="H4" i="2"/>
  <c r="F32" i="1"/>
  <c r="F31" i="1"/>
  <c r="G2" i="1"/>
  <c r="F3" i="1"/>
  <c r="F4" i="1"/>
  <c r="F5" i="1"/>
  <c r="F6" i="1"/>
  <c r="F7" i="1"/>
  <c r="F2" i="1"/>
  <c r="E3" i="1"/>
  <c r="E4" i="1"/>
  <c r="E5" i="1"/>
  <c r="E6" i="1"/>
  <c r="E7" i="1"/>
  <c r="E2" i="1"/>
  <c r="C21" i="1"/>
  <c r="C20" i="1"/>
  <c r="C19" i="1"/>
  <c r="C18" i="1"/>
  <c r="C17" i="1"/>
  <c r="C12" i="1"/>
  <c r="C16" i="1"/>
  <c r="C15" i="1"/>
  <c r="C14" i="1"/>
  <c r="C11" i="1"/>
  <c r="C13" i="1"/>
  <c r="C10" i="1"/>
</calcChain>
</file>

<file path=xl/sharedStrings.xml><?xml version="1.0" encoding="utf-8"?>
<sst xmlns="http://schemas.openxmlformats.org/spreadsheetml/2006/main" count="85" uniqueCount="57">
  <si>
    <t>Student Name</t>
  </si>
  <si>
    <t>sub1</t>
  </si>
  <si>
    <t>sub2</t>
  </si>
  <si>
    <t>Tanmoy</t>
  </si>
  <si>
    <t>Ram</t>
  </si>
  <si>
    <t>Lopa</t>
  </si>
  <si>
    <t>Amit</t>
  </si>
  <si>
    <t>Ankita</t>
  </si>
  <si>
    <t>Anudip</t>
  </si>
  <si>
    <t>CountA from A2 to A7</t>
  </si>
  <si>
    <t>CountA from B2 to B8</t>
  </si>
  <si>
    <t>Count from B2 to B8</t>
  </si>
  <si>
    <t>Count from B2 to B7</t>
  </si>
  <si>
    <t>CountA from C2 to C7</t>
  </si>
  <si>
    <t>Count from C2 to C7</t>
  </si>
  <si>
    <t>CountBlank from C2 to C7</t>
  </si>
  <si>
    <t>sub3</t>
  </si>
  <si>
    <t xml:space="preserve">sum1 </t>
  </si>
  <si>
    <t>sum3</t>
  </si>
  <si>
    <t>sum2</t>
  </si>
  <si>
    <t>Manager</t>
  </si>
  <si>
    <t>A</t>
  </si>
  <si>
    <t>B</t>
  </si>
  <si>
    <t>C</t>
  </si>
  <si>
    <t>D</t>
  </si>
  <si>
    <t>CountIf from C2 to C7</t>
  </si>
  <si>
    <t>CountIfs 1</t>
  </si>
  <si>
    <t>CountIfs 2</t>
  </si>
  <si>
    <t>CountIfs 3</t>
  </si>
  <si>
    <t>CountIfs 4</t>
  </si>
  <si>
    <t>Tamoy</t>
  </si>
  <si>
    <t>SumIFs</t>
  </si>
  <si>
    <t>AvgIF</t>
  </si>
  <si>
    <t>OrderID</t>
  </si>
  <si>
    <t>Region</t>
  </si>
  <si>
    <t>Category</t>
  </si>
  <si>
    <t>Sales</t>
  </si>
  <si>
    <t>Quantity</t>
  </si>
  <si>
    <t>Month</t>
  </si>
  <si>
    <t>East</t>
  </si>
  <si>
    <t>Electronics</t>
  </si>
  <si>
    <t>Jan</t>
  </si>
  <si>
    <t>West</t>
  </si>
  <si>
    <t>Furniture</t>
  </si>
  <si>
    <t>Feb</t>
  </si>
  <si>
    <t>South</t>
  </si>
  <si>
    <t>Clothing</t>
  </si>
  <si>
    <t>North</t>
  </si>
  <si>
    <t>Mar</t>
  </si>
  <si>
    <t>Apr</t>
  </si>
  <si>
    <t>May</t>
  </si>
  <si>
    <t>Q1</t>
  </si>
  <si>
    <t>Q2</t>
  </si>
  <si>
    <t>Q3</t>
  </si>
  <si>
    <t>Q4</t>
  </si>
  <si>
    <t>Q5</t>
  </si>
  <si>
    <t>Q6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</si>
</sst>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Fill="1" applyBorder="1"/>
    <xf numFmtId="0" fontId="0" fillId="0" borderId="0" xfId="0" applyBorder="1"/>
    <xf numFmtId="0" fontId="0" fillId="3" borderId="1" xfId="0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5746C-F021-4EEC-B181-FA1984A25142}">
  <dimension ref="A1:G32"/>
  <sheetViews>
    <sheetView topLeftCell="A2" zoomScale="103" zoomScaleNormal="85" workbookViewId="0">
      <selection activeCell="F32" sqref="F32"/>
    </sheetView>
  </sheetViews>
  <sheetFormatPr defaultRowHeight="15" x14ac:dyDescent="0.25"/>
  <cols>
    <col min="1" max="1" width="13.85546875" bestFit="1" customWidth="1"/>
    <col min="2" max="2" width="10.7109375" customWidth="1"/>
    <col min="3" max="3" width="10.42578125" bestFit="1" customWidth="1"/>
    <col min="4" max="4" width="10.140625" customWidth="1"/>
    <col min="5" max="5" width="13.85546875" bestFit="1" customWidth="1"/>
    <col min="6" max="6" width="13.85546875" customWidth="1"/>
    <col min="7" max="7" width="10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16</v>
      </c>
      <c r="E1" s="1" t="s">
        <v>17</v>
      </c>
      <c r="F1" s="1" t="s">
        <v>19</v>
      </c>
      <c r="G1" s="1" t="s">
        <v>18</v>
      </c>
    </row>
    <row r="2" spans="1:7" x14ac:dyDescent="0.25">
      <c r="A2" s="2" t="s">
        <v>3</v>
      </c>
      <c r="B2" s="3">
        <v>56</v>
      </c>
      <c r="C2" s="3">
        <v>26</v>
      </c>
      <c r="D2" s="3">
        <v>49</v>
      </c>
      <c r="E2" s="3">
        <f>SUM(B2:D2)</f>
        <v>131</v>
      </c>
      <c r="F2" s="3">
        <f>SUMIF(B2:D2,"&gt;40")</f>
        <v>105</v>
      </c>
      <c r="G2" s="3">
        <f>SUMIFS(D2:D7,A2:A7,"=Ankita")</f>
        <v>152</v>
      </c>
    </row>
    <row r="3" spans="1:7" x14ac:dyDescent="0.25">
      <c r="A3" s="3" t="s">
        <v>7</v>
      </c>
      <c r="B3" s="3">
        <v>45</v>
      </c>
      <c r="C3" s="3">
        <v>85</v>
      </c>
      <c r="D3" s="3">
        <v>60</v>
      </c>
      <c r="E3" s="3">
        <f t="shared" ref="E3:E7" si="0">SUM(B3:D3)</f>
        <v>190</v>
      </c>
      <c r="F3" s="3">
        <f t="shared" ref="F3:F7" si="1">SUMIF(B3:D3,"&gt;40")</f>
        <v>190</v>
      </c>
      <c r="G3" s="3"/>
    </row>
    <row r="4" spans="1:7" x14ac:dyDescent="0.25">
      <c r="A4" s="3" t="s">
        <v>4</v>
      </c>
      <c r="B4" s="3">
        <v>78</v>
      </c>
      <c r="C4" s="3">
        <v>85</v>
      </c>
      <c r="D4" s="3">
        <v>80</v>
      </c>
      <c r="E4" s="3">
        <f t="shared" si="0"/>
        <v>243</v>
      </c>
      <c r="F4" s="3">
        <f t="shared" si="1"/>
        <v>243</v>
      </c>
      <c r="G4" s="3"/>
    </row>
    <row r="5" spans="1:7" x14ac:dyDescent="0.25">
      <c r="A5" s="3" t="s">
        <v>5</v>
      </c>
      <c r="B5" s="4">
        <v>97</v>
      </c>
      <c r="C5" s="4">
        <v>78</v>
      </c>
      <c r="D5" s="4">
        <v>98</v>
      </c>
      <c r="E5" s="3">
        <f t="shared" si="0"/>
        <v>273</v>
      </c>
      <c r="F5" s="3">
        <f t="shared" si="1"/>
        <v>273</v>
      </c>
      <c r="G5" s="3"/>
    </row>
    <row r="6" spans="1:7" x14ac:dyDescent="0.25">
      <c r="A6" s="3" t="s">
        <v>6</v>
      </c>
      <c r="B6" s="4">
        <v>50</v>
      </c>
      <c r="C6" s="4">
        <v>83</v>
      </c>
      <c r="D6" s="4">
        <v>57</v>
      </c>
      <c r="E6" s="3">
        <f t="shared" si="0"/>
        <v>190</v>
      </c>
      <c r="F6" s="3">
        <f t="shared" si="1"/>
        <v>190</v>
      </c>
      <c r="G6" s="3"/>
    </row>
    <row r="7" spans="1:7" x14ac:dyDescent="0.25">
      <c r="A7" s="3" t="s">
        <v>7</v>
      </c>
      <c r="B7" s="4">
        <v>58</v>
      </c>
      <c r="C7" s="4">
        <v>79</v>
      </c>
      <c r="D7" s="4">
        <v>92</v>
      </c>
      <c r="E7" s="3">
        <f t="shared" si="0"/>
        <v>229</v>
      </c>
      <c r="F7" s="3">
        <f t="shared" si="1"/>
        <v>229</v>
      </c>
      <c r="G7" s="3"/>
    </row>
    <row r="8" spans="1:7" x14ac:dyDescent="0.25">
      <c r="B8" t="s">
        <v>8</v>
      </c>
    </row>
    <row r="10" spans="1:7" x14ac:dyDescent="0.25">
      <c r="A10" s="8" t="s">
        <v>9</v>
      </c>
      <c r="B10" s="8"/>
      <c r="C10" s="3">
        <f>COUNTA(A2:A7)</f>
        <v>6</v>
      </c>
      <c r="D10" s="5"/>
      <c r="E10" s="5"/>
      <c r="F10" s="5"/>
      <c r="G10" s="5"/>
    </row>
    <row r="11" spans="1:7" x14ac:dyDescent="0.25">
      <c r="A11" s="8" t="s">
        <v>11</v>
      </c>
      <c r="B11" s="8"/>
      <c r="C11" s="3">
        <f>COUNT(B2:B8)</f>
        <v>6</v>
      </c>
      <c r="D11" s="5"/>
      <c r="E11" s="5"/>
      <c r="F11" s="5"/>
      <c r="G11" s="5"/>
    </row>
    <row r="12" spans="1:7" x14ac:dyDescent="0.25">
      <c r="A12" s="8" t="s">
        <v>12</v>
      </c>
      <c r="B12" s="8"/>
      <c r="C12" s="3">
        <f>COUNT(B2:B7)</f>
        <v>6</v>
      </c>
      <c r="D12" s="5"/>
      <c r="E12" s="5"/>
      <c r="F12" s="5"/>
      <c r="G12" s="5"/>
    </row>
    <row r="13" spans="1:7" x14ac:dyDescent="0.25">
      <c r="A13" s="8" t="s">
        <v>10</v>
      </c>
      <c r="B13" s="8"/>
      <c r="C13" s="3">
        <f>COUNTA(B2:B8)</f>
        <v>7</v>
      </c>
      <c r="D13" s="5"/>
      <c r="E13" s="5"/>
      <c r="F13" s="5"/>
      <c r="G13" s="5"/>
    </row>
    <row r="14" spans="1:7" x14ac:dyDescent="0.25">
      <c r="A14" s="8" t="s">
        <v>13</v>
      </c>
      <c r="B14" s="8"/>
      <c r="C14" s="3">
        <f>COUNTA(C2:C7)</f>
        <v>6</v>
      </c>
      <c r="D14" s="5"/>
      <c r="E14" s="5"/>
      <c r="F14" s="5"/>
      <c r="G14" s="5"/>
    </row>
    <row r="15" spans="1:7" x14ac:dyDescent="0.25">
      <c r="A15" s="8" t="s">
        <v>14</v>
      </c>
      <c r="B15" s="8"/>
      <c r="C15" s="3">
        <f>COUNT(C2:C7)</f>
        <v>6</v>
      </c>
      <c r="D15" s="5"/>
      <c r="E15" s="5"/>
      <c r="F15" s="5"/>
      <c r="G15" s="5"/>
    </row>
    <row r="16" spans="1:7" x14ac:dyDescent="0.25">
      <c r="A16" s="8" t="s">
        <v>15</v>
      </c>
      <c r="B16" s="8"/>
      <c r="C16" s="3">
        <f>COUNTBLANK(C2:C7)</f>
        <v>0</v>
      </c>
      <c r="D16" s="5"/>
      <c r="E16" s="5"/>
      <c r="F16" s="5"/>
      <c r="G16" s="5"/>
    </row>
    <row r="17" spans="1:7" x14ac:dyDescent="0.25">
      <c r="A17" s="8" t="s">
        <v>25</v>
      </c>
      <c r="B17" s="8"/>
      <c r="C17" s="3">
        <f>COUNTIF(C2:C7,"&gt;60")</f>
        <v>5</v>
      </c>
    </row>
    <row r="18" spans="1:7" x14ac:dyDescent="0.25">
      <c r="A18" s="8" t="s">
        <v>26</v>
      </c>
      <c r="B18" s="8"/>
      <c r="C18" s="3">
        <f>COUNTIFS(B2:B7,"&gt;60",B2:B7,"&lt;90")</f>
        <v>1</v>
      </c>
    </row>
    <row r="19" spans="1:7" x14ac:dyDescent="0.25">
      <c r="A19" s="8" t="s">
        <v>27</v>
      </c>
      <c r="B19" s="8"/>
      <c r="C19" s="3">
        <f>COUNTIFS(B2:B7,"&gt;50",A2:A7,"=Ankita")</f>
        <v>1</v>
      </c>
    </row>
    <row r="20" spans="1:7" x14ac:dyDescent="0.25">
      <c r="A20" s="8" t="s">
        <v>28</v>
      </c>
      <c r="B20" s="8"/>
      <c r="C20" s="3">
        <f>COUNTIF(A2:A7,"=Ankita")</f>
        <v>2</v>
      </c>
    </row>
    <row r="21" spans="1:7" x14ac:dyDescent="0.25">
      <c r="A21" s="8" t="s">
        <v>29</v>
      </c>
      <c r="B21" s="8"/>
      <c r="C21" s="3">
        <f>COUNTIFS(B2:B7,"&gt;=60",C2:C7,"&lt;50")</f>
        <v>0</v>
      </c>
    </row>
    <row r="23" spans="1:7" x14ac:dyDescent="0.25">
      <c r="E23" s="1" t="s">
        <v>0</v>
      </c>
      <c r="F23" s="1" t="s">
        <v>20</v>
      </c>
      <c r="G23" s="1" t="s">
        <v>1</v>
      </c>
    </row>
    <row r="24" spans="1:7" x14ac:dyDescent="0.25">
      <c r="E24" s="3" t="s">
        <v>7</v>
      </c>
      <c r="F24" s="3" t="s">
        <v>21</v>
      </c>
      <c r="G24" s="3">
        <v>50</v>
      </c>
    </row>
    <row r="25" spans="1:7" x14ac:dyDescent="0.25">
      <c r="E25" s="3" t="s">
        <v>30</v>
      </c>
      <c r="F25" s="3" t="s">
        <v>22</v>
      </c>
      <c r="G25" s="3">
        <v>45</v>
      </c>
    </row>
    <row r="26" spans="1:7" x14ac:dyDescent="0.25">
      <c r="E26" s="3" t="s">
        <v>4</v>
      </c>
      <c r="F26" s="3" t="s">
        <v>23</v>
      </c>
      <c r="G26" s="3">
        <v>78</v>
      </c>
    </row>
    <row r="27" spans="1:7" x14ac:dyDescent="0.25">
      <c r="E27" s="3" t="s">
        <v>7</v>
      </c>
      <c r="F27" s="3" t="s">
        <v>21</v>
      </c>
      <c r="G27" s="4">
        <v>97</v>
      </c>
    </row>
    <row r="28" spans="1:7" x14ac:dyDescent="0.25">
      <c r="E28" s="3" t="s">
        <v>6</v>
      </c>
      <c r="F28" s="3" t="s">
        <v>23</v>
      </c>
      <c r="G28" s="4">
        <v>50</v>
      </c>
    </row>
    <row r="29" spans="1:7" x14ac:dyDescent="0.25">
      <c r="E29" s="3" t="s">
        <v>7</v>
      </c>
      <c r="F29" s="3" t="s">
        <v>24</v>
      </c>
      <c r="G29" s="4">
        <v>58</v>
      </c>
    </row>
    <row r="31" spans="1:7" x14ac:dyDescent="0.25">
      <c r="E31" s="6" t="s">
        <v>31</v>
      </c>
      <c r="F31" s="3">
        <f>SUMIFS(G24:G29,E24:E29,"=Ankita",F24:F29,"=A")</f>
        <v>147</v>
      </c>
    </row>
    <row r="32" spans="1:7" x14ac:dyDescent="0.25">
      <c r="E32" s="6" t="s">
        <v>32</v>
      </c>
      <c r="F32" s="3">
        <f>AVERAGEIF(G24:G29,"&gt;50")</f>
        <v>77.666666666666671</v>
      </c>
    </row>
  </sheetData>
  <mergeCells count="12">
    <mergeCell ref="A16:B16"/>
    <mergeCell ref="A12:B12"/>
    <mergeCell ref="A10:B10"/>
    <mergeCell ref="A11:B11"/>
    <mergeCell ref="A13:B13"/>
    <mergeCell ref="A14:B14"/>
    <mergeCell ref="A15:B15"/>
    <mergeCell ref="A17:B17"/>
    <mergeCell ref="A18:B18"/>
    <mergeCell ref="A19:B19"/>
    <mergeCell ref="A20:B20"/>
    <mergeCell ref="A21:B2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9251F-8654-4BA8-99F3-733EEE5A31A3}">
  <dimension ref="A1:H11"/>
  <sheetViews>
    <sheetView tabSelected="1" zoomScale="117" workbookViewId="0">
      <selection activeCell="L8" sqref="L8"/>
    </sheetView>
  </sheetViews>
  <sheetFormatPr defaultRowHeight="15" x14ac:dyDescent="0.25"/>
  <cols>
    <col min="3" max="3" width="10.5703125" bestFit="1" customWidth="1"/>
  </cols>
  <sheetData>
    <row r="1" spans="1:8" x14ac:dyDescent="0.25">
      <c r="A1" s="7" t="s">
        <v>33</v>
      </c>
      <c r="B1" s="7" t="s">
        <v>34</v>
      </c>
      <c r="C1" s="7" t="s">
        <v>35</v>
      </c>
      <c r="D1" s="7" t="s">
        <v>36</v>
      </c>
      <c r="E1" s="7" t="s">
        <v>37</v>
      </c>
      <c r="F1" s="7" t="s">
        <v>38</v>
      </c>
    </row>
    <row r="2" spans="1:8" x14ac:dyDescent="0.25">
      <c r="A2" s="3">
        <v>101</v>
      </c>
      <c r="B2" s="3" t="s">
        <v>39</v>
      </c>
      <c r="C2" s="3" t="s">
        <v>40</v>
      </c>
      <c r="D2" s="3">
        <v>25000</v>
      </c>
      <c r="E2" s="3">
        <v>5</v>
      </c>
      <c r="F2" s="3" t="s">
        <v>41</v>
      </c>
    </row>
    <row r="3" spans="1:8" x14ac:dyDescent="0.25">
      <c r="A3" s="3">
        <v>102</v>
      </c>
      <c r="B3" s="3" t="s">
        <v>42</v>
      </c>
      <c r="C3" s="3" t="s">
        <v>43</v>
      </c>
      <c r="D3" s="3">
        <v>18000</v>
      </c>
      <c r="E3" s="3">
        <v>3</v>
      </c>
      <c r="F3" s="3" t="s">
        <v>41</v>
      </c>
    </row>
    <row r="4" spans="1:8" x14ac:dyDescent="0.25">
      <c r="A4" s="3">
        <v>103</v>
      </c>
      <c r="B4" s="3" t="s">
        <v>39</v>
      </c>
      <c r="C4" s="3" t="s">
        <v>40</v>
      </c>
      <c r="D4" s="3">
        <v>30000</v>
      </c>
      <c r="E4" s="3">
        <v>6</v>
      </c>
      <c r="F4" s="3" t="s">
        <v>44</v>
      </c>
      <c r="G4" s="6" t="s">
        <v>51</v>
      </c>
      <c r="H4" s="3">
        <f>SUMIF(B2:B11,"=East",D2:D11)</f>
        <v>94000</v>
      </c>
    </row>
    <row r="5" spans="1:8" x14ac:dyDescent="0.25">
      <c r="A5" s="3">
        <v>104</v>
      </c>
      <c r="B5" s="3" t="s">
        <v>45</v>
      </c>
      <c r="C5" s="3" t="s">
        <v>46</v>
      </c>
      <c r="D5" s="3">
        <v>12000</v>
      </c>
      <c r="E5" s="3">
        <v>4</v>
      </c>
      <c r="F5" s="3" t="s">
        <v>44</v>
      </c>
      <c r="G5" s="6" t="s">
        <v>52</v>
      </c>
      <c r="H5" s="3">
        <f>SUMIF(C2:C11,"=Electronics",D2:D11)</f>
        <v>115000</v>
      </c>
    </row>
    <row r="6" spans="1:8" x14ac:dyDescent="0.25">
      <c r="A6" s="3">
        <v>105</v>
      </c>
      <c r="B6" s="3" t="s">
        <v>47</v>
      </c>
      <c r="C6" s="3" t="s">
        <v>43</v>
      </c>
      <c r="D6" s="3">
        <v>22000</v>
      </c>
      <c r="E6" s="3">
        <v>5</v>
      </c>
      <c r="F6" s="3" t="s">
        <v>48</v>
      </c>
      <c r="G6" s="6" t="s">
        <v>53</v>
      </c>
      <c r="H6" s="3">
        <f>SUMIFS(D2:D11,C2:C11,"=Electronics",B2:B11,"=East")</f>
        <v>55000</v>
      </c>
    </row>
    <row r="7" spans="1:8" x14ac:dyDescent="0.25">
      <c r="A7" s="3">
        <v>106</v>
      </c>
      <c r="B7" s="3" t="s">
        <v>39</v>
      </c>
      <c r="C7" s="3" t="s">
        <v>46</v>
      </c>
      <c r="D7" s="3">
        <v>15000</v>
      </c>
      <c r="E7" s="3">
        <v>3</v>
      </c>
      <c r="F7" s="3" t="s">
        <v>48</v>
      </c>
      <c r="G7" s="6" t="s">
        <v>54</v>
      </c>
      <c r="H7" s="3">
        <f>SUMIF(F2:F11,"=Jan",D2:D11)</f>
        <v>43000</v>
      </c>
    </row>
    <row r="8" spans="1:8" x14ac:dyDescent="0.25">
      <c r="A8" s="3">
        <v>107</v>
      </c>
      <c r="B8" s="3" t="s">
        <v>42</v>
      </c>
      <c r="C8" s="3" t="s">
        <v>40</v>
      </c>
      <c r="D8" s="3">
        <v>28000</v>
      </c>
      <c r="E8" s="3">
        <v>7</v>
      </c>
      <c r="F8" s="3" t="s">
        <v>49</v>
      </c>
      <c r="G8" s="6" t="s">
        <v>55</v>
      </c>
      <c r="H8" s="3">
        <f>SUMIF(C2:C11,"=Electronics",E2:E11)</f>
        <v>26</v>
      </c>
    </row>
    <row r="9" spans="1:8" x14ac:dyDescent="0.25">
      <c r="A9" s="3">
        <v>108</v>
      </c>
      <c r="B9" s="3" t="s">
        <v>45</v>
      </c>
      <c r="C9" s="3" t="s">
        <v>43</v>
      </c>
      <c r="D9" s="3">
        <v>20000</v>
      </c>
      <c r="E9" s="3">
        <v>4</v>
      </c>
      <c r="F9" s="3" t="s">
        <v>49</v>
      </c>
      <c r="G9" s="6" t="s">
        <v>56</v>
      </c>
      <c r="H9" s="3">
        <f>SUMIFS(E2:E11,C2:C11,"=Electronics",B2:B11,"=East")</f>
        <v>11</v>
      </c>
    </row>
    <row r="10" spans="1:8" x14ac:dyDescent="0.25">
      <c r="A10" s="3">
        <v>109</v>
      </c>
      <c r="B10" s="3" t="s">
        <v>47</v>
      </c>
      <c r="C10" s="3" t="s">
        <v>40</v>
      </c>
      <c r="D10" s="3">
        <v>32000</v>
      </c>
      <c r="E10" s="3">
        <v>8</v>
      </c>
      <c r="F10" s="3" t="s">
        <v>50</v>
      </c>
    </row>
    <row r="11" spans="1:8" x14ac:dyDescent="0.25">
      <c r="A11" s="3">
        <v>110</v>
      </c>
      <c r="B11" s="3" t="s">
        <v>39</v>
      </c>
      <c r="C11" s="3" t="s">
        <v>43</v>
      </c>
      <c r="D11" s="3">
        <v>24000</v>
      </c>
      <c r="E11" s="3">
        <v>6</v>
      </c>
      <c r="F11" s="3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Demon king</dc:creator>
  <cp:lastModifiedBy>Demon king</cp:lastModifiedBy>
  <dcterms:created xsi:type="dcterms:W3CDTF">2026-01-08T08:55:18Z</dcterms:created>
  <dcterms:modified xsi:type="dcterms:W3CDTF">2026-01-09T14:07:16Z</dcterms:modified>
</cp:coreProperties>
</file>